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virtustex-my.sharepoint.com/personal/jonatas_kinas_virtus_ufcg_edu_br/Documents/CENTRO DE COMPETÊNCIA/Curso Projeto e Montagem de PCB/Módulo 2/Aula 7 - Bibliotecas de componentes/"/>
    </mc:Choice>
  </mc:AlternateContent>
  <xr:revisionPtr revIDLastSave="10" documentId="13_ncr:1_{3EF7AB60-176C-4D96-A5D2-B33BAC12DB79}" xr6:coauthVersionLast="47" xr6:coauthVersionMax="47" xr10:uidLastSave="{99163442-0BDF-4C9D-B853-2DD1954C31F3}"/>
  <bookViews>
    <workbookView xWindow="-120" yWindow="-120" windowWidth="29040" windowHeight="15720" xr2:uid="{21897153-7DC8-4A57-8222-6E500058D9CF}"/>
  </bookViews>
  <sheets>
    <sheet name="BoM" sheetId="1" r:id="rId1"/>
    <sheet name="Impostos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" l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22" i="6"/>
  <c r="A21" i="6"/>
  <c r="C13" i="6" l="1"/>
  <c r="C16" i="6"/>
  <c r="B14" i="1" l="1"/>
  <c r="B13" i="1" l="1"/>
  <c r="B12" i="6"/>
  <c r="C44" i="1"/>
  <c r="B24" i="6" l="1"/>
  <c r="C12" i="6"/>
  <c r="B14" i="6"/>
  <c r="B15" i="6" l="1"/>
  <c r="C15" i="6" s="1"/>
  <c r="C14" i="6"/>
  <c r="B17" i="6"/>
  <c r="C17" i="6" s="1"/>
  <c r="C24" i="6"/>
  <c r="B25" i="6" l="1"/>
  <c r="C25" i="6" s="1"/>
  <c r="B26" i="6"/>
  <c r="C26" i="6"/>
</calcChain>
</file>

<file path=xl/sharedStrings.xml><?xml version="1.0" encoding="utf-8"?>
<sst xmlns="http://schemas.openxmlformats.org/spreadsheetml/2006/main" count="156" uniqueCount="126">
  <si>
    <t>Lista de Materiais</t>
  </si>
  <si>
    <t>Item</t>
  </si>
  <si>
    <t>Projeto:</t>
  </si>
  <si>
    <t>Arquivo:</t>
  </si>
  <si>
    <t>Versão:</t>
  </si>
  <si>
    <t>Data:</t>
  </si>
  <si>
    <t>Contato:</t>
  </si>
  <si>
    <t>Impostos</t>
  </si>
  <si>
    <t>Valor do produto</t>
  </si>
  <si>
    <t>Valor (USD)</t>
  </si>
  <si>
    <t>Valor (BRL)</t>
  </si>
  <si>
    <t>ICMS Paraíba (18%)</t>
  </si>
  <si>
    <t>Valor do frete</t>
  </si>
  <si>
    <t>Imposto alfandegário (60%)</t>
  </si>
  <si>
    <t>Taxa de Desembaraço FEDEX</t>
  </si>
  <si>
    <t>Total</t>
  </si>
  <si>
    <t>Spread do dólar (4%)</t>
  </si>
  <si>
    <t>=</t>
  </si>
  <si>
    <t>R$</t>
  </si>
  <si>
    <t>Valor total da compra</t>
  </si>
  <si>
    <t>Valor a Pagar</t>
  </si>
  <si>
    <t>Pagamento 01</t>
  </si>
  <si>
    <t>Pagamento 02</t>
  </si>
  <si>
    <t>Pagamento 01 é realizado no ato da compra, cobrado imediatamente no cartão de crédito.</t>
  </si>
  <si>
    <t>Pagamento 02 é realizado no ato da recepção da mercadoria, cobrado pelo courrier referente às despesas aduaneiras e de desembaraço.</t>
  </si>
  <si>
    <t>Valores</t>
  </si>
  <si>
    <t>Quantity</t>
  </si>
  <si>
    <t>Manufacturer Part Number</t>
  </si>
  <si>
    <t>CL21B104KACNNNC</t>
  </si>
  <si>
    <t>CL31A106KBHNNNE</t>
  </si>
  <si>
    <t>CL21A226MAYNNNE</t>
  </si>
  <si>
    <t>C2012X5R1E475K125AB</t>
  </si>
  <si>
    <t>TSW-101-07-G-D</t>
  </si>
  <si>
    <t>MMSZ5245B-TP</t>
  </si>
  <si>
    <t>LTST-C170GKT</t>
  </si>
  <si>
    <t>SMBJ28CAQ-13-F</t>
  </si>
  <si>
    <t>MBR120VLSFT1G</t>
  </si>
  <si>
    <t>SMAJ5.0A-13-F</t>
  </si>
  <si>
    <t>SMBJ6.0CA-TR</t>
  </si>
  <si>
    <t>LTST-C171TBKT</t>
  </si>
  <si>
    <t>5447861</t>
  </si>
  <si>
    <t>5444262</t>
  </si>
  <si>
    <t>1255AY-4R7M=P3</t>
  </si>
  <si>
    <t>CRGCQ0805F100K</t>
  </si>
  <si>
    <t>RC0805FR-0710KL</t>
  </si>
  <si>
    <t>RC0805FR-071KL</t>
  </si>
  <si>
    <t>CRGCQ0805J470R</t>
  </si>
  <si>
    <t>ERJ-6ENF2001V</t>
  </si>
  <si>
    <t>RC0805FR-071ML</t>
  </si>
  <si>
    <t>RC0805FR-07270KL</t>
  </si>
  <si>
    <t>RC0805FR-0716KL</t>
  </si>
  <si>
    <t>RC0805FR-13330KL</t>
  </si>
  <si>
    <t>DMP4065S-7</t>
  </si>
  <si>
    <t>DDTC143ZCA-7-F</t>
  </si>
  <si>
    <t>PJA3415_R1_00001</t>
  </si>
  <si>
    <t>AP63205WU-7</t>
  </si>
  <si>
    <t>MCP73831T-2ACI/OT</t>
  </si>
  <si>
    <t>TLV7031QDBVRQ1</t>
  </si>
  <si>
    <t>LM4041DYM3-1.2-TR</t>
  </si>
  <si>
    <t>Description</t>
  </si>
  <si>
    <t>CAP CER 0.1UF 25V X7R 0805</t>
  </si>
  <si>
    <t>CAP CER 10UF 50V X5R 1206</t>
  </si>
  <si>
    <t>CAP CER 22UF 25V X5R 0805</t>
  </si>
  <si>
    <t>CAP CER 4.7UF 25V X5R 0805</t>
  </si>
  <si>
    <t>CONN HEADER VERT 2POS</t>
  </si>
  <si>
    <t>DIODE ZENER 15V 500MW SOD123</t>
  </si>
  <si>
    <t>LED GREEN CLEAR SMD</t>
  </si>
  <si>
    <t>TVS DIODE 28VWM 45.4VC SMB</t>
  </si>
  <si>
    <t>DIODE SCHOTTKY 20V 1A SOD123FL</t>
  </si>
  <si>
    <t>TVS DIODE 5VWM 9.2VC SMA</t>
  </si>
  <si>
    <t>TVS DIODE 6VWM 10.3VC SMB</t>
  </si>
  <si>
    <t>LED BLUE CLEAR CHIP SMD</t>
  </si>
  <si>
    <t>TERM BLOCK PLUG 2POS STR 3.81MM</t>
  </si>
  <si>
    <t>TERM BLOCK HDR 2POS 90DEG 3.81MM</t>
  </si>
  <si>
    <t>FIXED IND 4.7UH 4A 23 MOHM SMD</t>
  </si>
  <si>
    <t>RES 100K OHM 1% 1/8W 0805</t>
  </si>
  <si>
    <t>RES 10K OHM 1% 1/8W 0805</t>
  </si>
  <si>
    <t>RES 1K OHM 1% 1/8W 0805</t>
  </si>
  <si>
    <t>RES 470 OHM 5% 1/8W 0805</t>
  </si>
  <si>
    <t>RES SMD 2K OHM 1% 1/8W 0805</t>
  </si>
  <si>
    <t>RES 1M OHM 1% 1/8W 0805</t>
  </si>
  <si>
    <t>RES 270K OHM 1% 1/8W 0805</t>
  </si>
  <si>
    <t>RES 16K OHM 1% 1/8W 0805</t>
  </si>
  <si>
    <t>RES 330K OHM 1% 1/8W 0805</t>
  </si>
  <si>
    <t>MOSFET P-CH 40V 2.4A SOT23</t>
  </si>
  <si>
    <t>TRANS PREBIAS NPN 200MW SOT23-3</t>
  </si>
  <si>
    <t>MOSFET P-CHANNEL 20V 4A SOT23</t>
  </si>
  <si>
    <t>IC REG BUCK 5V 2A TSOT23-6</t>
  </si>
  <si>
    <t>IC BATT CNTL LI-ION 1CEL SOT23-5</t>
  </si>
  <si>
    <t>AUTOMOTIVE NANO POWER COMPARATOR</t>
  </si>
  <si>
    <t>IC VREF SHUNT 1% SOT23-3</t>
  </si>
  <si>
    <t>Supplier 1</t>
  </si>
  <si>
    <t>Digikey</t>
  </si>
  <si>
    <t>DigiKey</t>
  </si>
  <si>
    <t>Supplier Part Number 1</t>
  </si>
  <si>
    <t>1276-1099-1-ND</t>
  </si>
  <si>
    <t>1276-2876-1-ND</t>
  </si>
  <si>
    <t>1276-CL21A226MAYNNNECT-ND</t>
  </si>
  <si>
    <t>445-4116-1-ND</t>
  </si>
  <si>
    <t>SAM1028-01-ND</t>
  </si>
  <si>
    <t>MMSZ5245B-TPMSCT-ND</t>
  </si>
  <si>
    <t>160-1179-1-ND</t>
  </si>
  <si>
    <t>SMBJ28CAQ-13-FDICT-ND</t>
  </si>
  <si>
    <t>MBR120VLSFT1GOSCT-ND</t>
  </si>
  <si>
    <t>SMAJ5.0A-FDICT-ND</t>
  </si>
  <si>
    <t>497-7454-1-ND</t>
  </si>
  <si>
    <t>160-1645-1-ND</t>
  </si>
  <si>
    <t>277-11343-ND</t>
  </si>
  <si>
    <t>277-11313-ND</t>
  </si>
  <si>
    <t>490-10812-1-ND</t>
  </si>
  <si>
    <t>A129773CT-ND</t>
  </si>
  <si>
    <t>541-3976-1-ND</t>
  </si>
  <si>
    <t>311-1.00KCRCT-ND</t>
  </si>
  <si>
    <t>A130132CT-ND</t>
  </si>
  <si>
    <t>P2.00KCCT-ND</t>
  </si>
  <si>
    <t>311-1.00MCRCT-ND</t>
  </si>
  <si>
    <t>A126354CT-ND</t>
  </si>
  <si>
    <t>311-16.0KCRCT-ND</t>
  </si>
  <si>
    <t>13-RC0805FR-13330KLCT-ND</t>
  </si>
  <si>
    <t>DMP4065S-7DICT-ND</t>
  </si>
  <si>
    <t>DDTC143ZCA-FDICT-ND</t>
  </si>
  <si>
    <t>3757-PJA3415_R1_00001CT-ND</t>
  </si>
  <si>
    <t>AP63205WU-7DICT-ND</t>
  </si>
  <si>
    <t>MCP73831T-2ACI/OTCT-ND</t>
  </si>
  <si>
    <t>296-TLV7031QDBVRQ1CT-ND</t>
  </si>
  <si>
    <t>576-2572-1-ND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</si>
</sst>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USD]\ #,##0.00"/>
    <numFmt numFmtId="165" formatCode="_-[$USD]\ * #,##0.00_-;\-[$USD]\ * #,##0.00_-;_-[$USD]\ * &quot;-&quot;??_-;_-@_-"/>
    <numFmt numFmtId="166" formatCode="_-[$BRL]\ * #,##0.00_-;\-[$BRL]\ * #,##0.00_-;_-[$BRL]\ * &quot;-&quot;??_-;_-@_-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Roboto"/>
    </font>
    <font>
      <b/>
      <sz val="11"/>
      <color theme="1"/>
      <name val="Roboto"/>
    </font>
    <font>
      <sz val="26"/>
      <color theme="1"/>
      <name val="Roboto"/>
    </font>
    <font>
      <sz val="11"/>
      <name val="Roboto"/>
    </font>
    <font>
      <sz val="10"/>
      <color theme="1"/>
      <name val="Roboto"/>
    </font>
    <font>
      <sz val="9"/>
      <color theme="1"/>
      <name val="Roboto"/>
    </font>
    <font>
      <sz val="18"/>
      <color theme="1"/>
      <name val="Roboto"/>
    </font>
    <font>
      <b/>
      <sz val="14"/>
      <color theme="1"/>
      <name val="Roboto"/>
    </font>
    <font>
      <sz val="14"/>
      <color theme="1"/>
      <name val="Roboto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lightUp"/>
    </fill>
    <fill>
      <patternFill patternType="darkUp"/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  <xf numFmtId="0" fontId="5" fillId="3" borderId="0" xfId="0" applyFont="1" applyFill="1"/>
    <xf numFmtId="0" fontId="4" fillId="0" borderId="0" xfId="0" applyFont="1" applyAlignment="1">
      <alignment horizontal="center" vertical="center"/>
    </xf>
    <xf numFmtId="165" fontId="2" fillId="0" borderId="1" xfId="0" applyNumberFormat="1" applyFont="1" applyBorder="1"/>
    <xf numFmtId="166" fontId="2" fillId="0" borderId="1" xfId="0" applyNumberFormat="1" applyFont="1" applyBorder="1"/>
    <xf numFmtId="0" fontId="4" fillId="0" borderId="0" xfId="0" applyFont="1" applyAlignment="1">
      <alignment vertical="center"/>
    </xf>
    <xf numFmtId="1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/>
    </xf>
    <xf numFmtId="165" fontId="2" fillId="4" borderId="1" xfId="0" applyNumberFormat="1" applyFont="1" applyFill="1" applyBorder="1"/>
    <xf numFmtId="166" fontId="2" fillId="4" borderId="1" xfId="0" applyNumberFormat="1" applyFont="1" applyFill="1" applyBorder="1"/>
    <xf numFmtId="0" fontId="0" fillId="5" borderId="1" xfId="0" applyFill="1" applyBorder="1" applyAlignment="1">
      <alignment horizontal="left" vertical="center"/>
    </xf>
    <xf numFmtId="0" fontId="2" fillId="6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left" vertical="center"/>
    </xf>
    <xf numFmtId="166" fontId="2" fillId="4" borderId="1" xfId="0" applyNumberFormat="1" applyFont="1" applyFill="1" applyBorder="1" applyAlignment="1">
      <alignment horizontal="left"/>
    </xf>
    <xf numFmtId="0" fontId="4" fillId="0" borderId="2" xfId="0" applyFont="1" applyBorder="1" applyAlignment="1">
      <alignment vertical="center"/>
    </xf>
    <xf numFmtId="165" fontId="2" fillId="4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4" fillId="0" borderId="0" xfId="0" applyFont="1"/>
    <xf numFmtId="0" fontId="2" fillId="0" borderId="1" xfId="0" applyFont="1" applyBorder="1"/>
    <xf numFmtId="2" fontId="2" fillId="0" borderId="0" xfId="0" applyNumberFormat="1" applyFont="1"/>
    <xf numFmtId="2" fontId="2" fillId="0" borderId="5" xfId="0" applyNumberFormat="1" applyFont="1" applyBorder="1"/>
    <xf numFmtId="166" fontId="3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5" fontId="2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left"/>
    </xf>
    <xf numFmtId="0" fontId="6" fillId="0" borderId="3" xfId="0" applyFont="1" applyBorder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7" fillId="0" borderId="0" xfId="0" applyFont="1" applyAlignment="1">
      <alignment vertical="center" wrapText="1"/>
    </xf>
    <xf numFmtId="0" fontId="9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9" fontId="10" fillId="7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3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10" fillId="5" borderId="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 patternType="lightUp">
          <fgColor rgb="FFC00000"/>
        </patternFill>
      </fill>
    </dxf>
  </dxfs>
  <tableStyles count="0" defaultTableStyle="TableStyleMedium2" defaultPivotStyle="PivotStyleLight16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212912</xdr:colOff>
      <xdr:row>2</xdr:row>
      <xdr:rowOff>58409</xdr:rowOff>
    </xdr:from>
    <xdr:to>
      <xdr:col>3</xdr:col>
      <xdr:colOff>1449294</xdr:colOff>
      <xdr:row>4</xdr:row>
      <xdr:rowOff>343425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51A94D8-4C38-C9A9-5965-564344656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912" y="439409"/>
          <a:ext cx="3496235" cy="6596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0</xdr:rowOff>
    </xdr:from>
    <xdr:to>
      <xdr:col>1</xdr:col>
      <xdr:colOff>653863</xdr:colOff>
      <xdr:row>4</xdr:row>
      <xdr:rowOff>93980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D8CC545-F4A3-4AE0-A472-920FEBA6E55B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-11118"/>
        <a:stretch/>
      </xdr:blipFill>
      <xdr:spPr bwMode="auto">
        <a:xfrm>
          <a:off x="38100" y="182880"/>
          <a:ext cx="2520763" cy="64262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7636F-CE8D-4C1D-965C-5F55973BFF0E}">
  <sheetPr codeName="Planilha1"/>
  <dimension ref="A1:XFC56"/>
  <sheetViews>
    <sheetView showGridLines="0" tabSelected="1" topLeftCell="B20" zoomScale="85" zoomScaleNormal="85" workbookViewId="0">
      <selection activeCell="D41" sqref="D41"/>
    </sheetView>
  </sheetViews>
  <sheetFormatPr defaultColWidth="0" defaultRowHeight="15" x14ac:dyDescent="0.25"/>
  <cols>
    <col min="1" max="1" width="14.5703125" hidden="1" customWidth="1"/>
    <col min="2" max="2" width="17.28515625" customWidth="1"/>
    <col min="3" max="3" width="16.7109375" bestFit="1" customWidth="1"/>
    <col min="4" max="4" width="35.28515625" bestFit="1" customWidth="1"/>
    <col min="5" max="5" width="59.5703125" customWidth="1"/>
    <col min="6" max="6" width="18.42578125" bestFit="1" customWidth="1"/>
    <col min="7" max="7" width="47.5703125" customWidth="1"/>
    <col min="8" max="8" width="26.140625" hidden="1" customWidth="1"/>
    <col min="9" max="9" width="26.140625" hidden="1"/>
    <col min="11" max="12" width="26.140625" hidden="1"/>
    <col min="13" max="16383" width="8.85546875" hidden="1"/>
    <col min="16384" max="16384" width="1.28515625" customWidth="1"/>
  </cols>
  <sheetData>
    <row r="1" spans="2:7" x14ac:dyDescent="0.25">
      <c r="B1" s="47"/>
      <c r="C1" s="47"/>
      <c r="D1" s="47"/>
      <c r="E1" s="47"/>
      <c r="F1" s="47"/>
      <c r="G1" s="47"/>
    </row>
    <row r="5" spans="2:7" ht="33.75" x14ac:dyDescent="0.5">
      <c r="C5" s="26"/>
      <c r="D5" s="26"/>
      <c r="E5" s="26" t="s">
        <v>0</v>
      </c>
      <c r="F5" s="26"/>
      <c r="G5" s="26"/>
    </row>
    <row r="6" spans="2:7" x14ac:dyDescent="0.25">
      <c r="B6" s="2" t="s">
        <v>2</v>
      </c>
      <c r="C6" s="51"/>
      <c r="D6" s="52"/>
      <c r="E6" s="52"/>
      <c r="F6" s="52"/>
      <c r="G6" s="52"/>
    </row>
    <row r="7" spans="2:7" x14ac:dyDescent="0.25">
      <c r="B7" s="2" t="s">
        <v>3</v>
      </c>
      <c r="C7" s="51"/>
      <c r="D7" s="52"/>
      <c r="E7" s="52"/>
      <c r="F7" s="52"/>
      <c r="G7" s="52"/>
    </row>
    <row r="8" spans="2:7" x14ac:dyDescent="0.25">
      <c r="B8" s="2" t="s">
        <v>4</v>
      </c>
      <c r="C8" s="52"/>
      <c r="D8" s="52"/>
      <c r="E8" s="52"/>
      <c r="F8" s="52"/>
      <c r="G8" s="52"/>
    </row>
    <row r="9" spans="2:7" x14ac:dyDescent="0.25">
      <c r="B9" s="2" t="s">
        <v>5</v>
      </c>
      <c r="C9" s="51"/>
      <c r="D9" s="52"/>
      <c r="E9" s="52"/>
      <c r="F9" s="52"/>
      <c r="G9" s="52"/>
    </row>
    <row r="10" spans="2:7" x14ac:dyDescent="0.25">
      <c r="B10" s="2" t="s">
        <v>6</v>
      </c>
      <c r="C10" s="1"/>
      <c r="D10" s="1"/>
      <c r="E10" s="1"/>
      <c r="F10" s="1"/>
      <c r="G10" s="1"/>
    </row>
    <row r="12" spans="2:7" ht="18.75" x14ac:dyDescent="0.3">
      <c r="B12" s="41" t="s">
        <v>1</v>
      </c>
      <c r="C12" s="41" t="s">
        <v>26</v>
      </c>
      <c r="D12" s="41" t="s">
        <v>27</v>
      </c>
      <c r="E12" s="41" t="s">
        <v>59</v>
      </c>
      <c r="F12" s="41" t="s">
        <v>91</v>
      </c>
      <c r="G12" s="41" t="s">
        <v>94</v>
      </c>
    </row>
    <row r="13" spans="2:7" ht="21.95" customHeight="1" x14ac:dyDescent="0.25">
      <c r="B13" s="42">
        <f>ROW(B13)-ROW($B$12)</f>
        <v>1</v>
      </c>
      <c r="C13" s="42">
        <v>4</v>
      </c>
      <c r="D13" s="46" t="s">
        <v>28</v>
      </c>
      <c r="E13" s="42" t="s">
        <v>60</v>
      </c>
      <c r="F13" s="42" t="s">
        <v>92</v>
      </c>
      <c r="G13" s="42" t="s">
        <v>95</v>
      </c>
    </row>
    <row r="14" spans="2:7" ht="21.95" customHeight="1" x14ac:dyDescent="0.25">
      <c r="B14" s="42">
        <f t="shared" ref="B14:B42" si="0">ROW(B14)-ROW($B$12)</f>
        <v>2</v>
      </c>
      <c r="C14" s="42">
        <v>1</v>
      </c>
      <c r="D14" s="46" t="s">
        <v>29</v>
      </c>
      <c r="E14" s="42" t="s">
        <v>61</v>
      </c>
      <c r="F14" s="42" t="s">
        <v>93</v>
      </c>
      <c r="G14" s="42" t="s">
        <v>96</v>
      </c>
    </row>
    <row r="15" spans="2:7" ht="21.95" customHeight="1" x14ac:dyDescent="0.25">
      <c r="B15" s="42">
        <f>ROW(B15)-ROW($B$12)</f>
        <v>3</v>
      </c>
      <c r="C15" s="42">
        <v>2</v>
      </c>
      <c r="D15" s="46" t="s">
        <v>30</v>
      </c>
      <c r="E15" s="42" t="s">
        <v>62</v>
      </c>
      <c r="F15" s="42" t="s">
        <v>92</v>
      </c>
      <c r="G15" s="42" t="s">
        <v>97</v>
      </c>
    </row>
    <row r="16" spans="2:7" ht="21.95" customHeight="1" x14ac:dyDescent="0.25">
      <c r="B16" s="42">
        <f t="shared" si="0"/>
        <v>4</v>
      </c>
      <c r="C16" s="42">
        <v>2</v>
      </c>
      <c r="D16" s="46" t="s">
        <v>31</v>
      </c>
      <c r="E16" s="42" t="s">
        <v>63</v>
      </c>
      <c r="F16" s="42" t="s">
        <v>92</v>
      </c>
      <c r="G16" s="42" t="s">
        <v>98</v>
      </c>
    </row>
    <row r="17" spans="2:7" ht="21.95" customHeight="1" x14ac:dyDescent="0.25">
      <c r="B17" s="42">
        <f>ROW(B17)-ROW($B$12)</f>
        <v>5</v>
      </c>
      <c r="C17" s="42">
        <v>1</v>
      </c>
      <c r="D17" s="46" t="s">
        <v>32</v>
      </c>
      <c r="E17" s="42" t="s">
        <v>64</v>
      </c>
      <c r="F17" s="42" t="s">
        <v>92</v>
      </c>
      <c r="G17" s="42" t="s">
        <v>99</v>
      </c>
    </row>
    <row r="18" spans="2:7" ht="21.95" customHeight="1" x14ac:dyDescent="0.25">
      <c r="B18" s="42">
        <f t="shared" si="0"/>
        <v>6</v>
      </c>
      <c r="C18" s="42">
        <v>2</v>
      </c>
      <c r="D18" s="43" t="s">
        <v>33</v>
      </c>
      <c r="E18" s="42" t="s">
        <v>65</v>
      </c>
      <c r="F18" s="42" t="s">
        <v>92</v>
      </c>
      <c r="G18" s="42" t="s">
        <v>100</v>
      </c>
    </row>
    <row r="19" spans="2:7" ht="21.95" customHeight="1" x14ac:dyDescent="0.25">
      <c r="B19" s="42">
        <f>ROW(B19)-ROW($B$12)</f>
        <v>7</v>
      </c>
      <c r="C19" s="42">
        <v>5</v>
      </c>
      <c r="D19" s="43" t="s">
        <v>34</v>
      </c>
      <c r="E19" s="42" t="s">
        <v>66</v>
      </c>
      <c r="F19" s="42" t="s">
        <v>92</v>
      </c>
      <c r="G19" s="42" t="s">
        <v>101</v>
      </c>
    </row>
    <row r="20" spans="2:7" ht="21.95" customHeight="1" x14ac:dyDescent="0.25">
      <c r="B20" s="42">
        <f t="shared" si="0"/>
        <v>8</v>
      </c>
      <c r="C20" s="42">
        <v>1</v>
      </c>
      <c r="D20" s="43" t="s">
        <v>35</v>
      </c>
      <c r="E20" s="42" t="s">
        <v>67</v>
      </c>
      <c r="F20" s="42" t="s">
        <v>92</v>
      </c>
      <c r="G20" s="42" t="s">
        <v>102</v>
      </c>
    </row>
    <row r="21" spans="2:7" ht="21.95" customHeight="1" x14ac:dyDescent="0.25">
      <c r="B21" s="42">
        <f>ROW(B21)-ROW($B$12)</f>
        <v>9</v>
      </c>
      <c r="C21" s="42">
        <v>5</v>
      </c>
      <c r="D21" s="43" t="s">
        <v>36</v>
      </c>
      <c r="E21" s="42" t="s">
        <v>68</v>
      </c>
      <c r="F21" s="42" t="s">
        <v>92</v>
      </c>
      <c r="G21" s="42" t="s">
        <v>103</v>
      </c>
    </row>
    <row r="22" spans="2:7" ht="21.95" customHeight="1" x14ac:dyDescent="0.25">
      <c r="B22" s="42">
        <f t="shared" si="0"/>
        <v>10</v>
      </c>
      <c r="C22" s="42">
        <v>1</v>
      </c>
      <c r="D22" s="43" t="s">
        <v>37</v>
      </c>
      <c r="E22" s="42" t="s">
        <v>69</v>
      </c>
      <c r="F22" s="42" t="s">
        <v>93</v>
      </c>
      <c r="G22" s="42" t="s">
        <v>104</v>
      </c>
    </row>
    <row r="23" spans="2:7" ht="21.95" customHeight="1" x14ac:dyDescent="0.25">
      <c r="B23" s="42">
        <f>ROW(B23)-ROW($B$12)</f>
        <v>11</v>
      </c>
      <c r="C23" s="42">
        <v>1</v>
      </c>
      <c r="D23" s="43" t="s">
        <v>38</v>
      </c>
      <c r="E23" s="42" t="s">
        <v>70</v>
      </c>
      <c r="F23" s="42" t="s">
        <v>92</v>
      </c>
      <c r="G23" s="42" t="s">
        <v>105</v>
      </c>
    </row>
    <row r="24" spans="2:7" ht="21.95" customHeight="1" x14ac:dyDescent="0.25">
      <c r="B24" s="42">
        <f t="shared" si="0"/>
        <v>12</v>
      </c>
      <c r="C24" s="42">
        <v>1</v>
      </c>
      <c r="D24" s="43" t="s">
        <v>39</v>
      </c>
      <c r="E24" s="42" t="s">
        <v>71</v>
      </c>
      <c r="F24" s="42" t="s">
        <v>92</v>
      </c>
      <c r="G24" s="42" t="s">
        <v>106</v>
      </c>
    </row>
    <row r="25" spans="2:7" ht="21.95" customHeight="1" x14ac:dyDescent="0.25">
      <c r="B25" s="42">
        <f>ROW(B25)-ROW($B$12)</f>
        <v>13</v>
      </c>
      <c r="C25" s="42">
        <v>4</v>
      </c>
      <c r="D25" s="43" t="s">
        <v>40</v>
      </c>
      <c r="E25" s="42" t="s">
        <v>72</v>
      </c>
      <c r="F25" s="42" t="s">
        <v>92</v>
      </c>
      <c r="G25" s="42" t="s">
        <v>107</v>
      </c>
    </row>
    <row r="26" spans="2:7" ht="21.95" customHeight="1" x14ac:dyDescent="0.25">
      <c r="B26" s="42">
        <f t="shared" si="0"/>
        <v>14</v>
      </c>
      <c r="C26" s="42">
        <v>4</v>
      </c>
      <c r="D26" s="43" t="s">
        <v>41</v>
      </c>
      <c r="E26" s="42" t="s">
        <v>73</v>
      </c>
      <c r="F26" s="42" t="s">
        <v>92</v>
      </c>
      <c r="G26" s="42" t="s">
        <v>108</v>
      </c>
    </row>
    <row r="27" spans="2:7" ht="21.95" customHeight="1" x14ac:dyDescent="0.25">
      <c r="B27" s="42">
        <f>ROW(B27)-ROW($B$12)</f>
        <v>15</v>
      </c>
      <c r="C27" s="42">
        <v>1</v>
      </c>
      <c r="D27" s="46" t="s">
        <v>42</v>
      </c>
      <c r="E27" s="42" t="s">
        <v>74</v>
      </c>
      <c r="F27" s="42" t="s">
        <v>92</v>
      </c>
      <c r="G27" s="42" t="s">
        <v>109</v>
      </c>
    </row>
    <row r="28" spans="2:7" ht="21.95" customHeight="1" x14ac:dyDescent="0.25">
      <c r="B28" s="42">
        <f t="shared" si="0"/>
        <v>16</v>
      </c>
      <c r="C28" s="42">
        <v>2</v>
      </c>
      <c r="D28" s="43" t="s">
        <v>43</v>
      </c>
      <c r="E28" s="42" t="s">
        <v>75</v>
      </c>
      <c r="F28" s="42" t="s">
        <v>92</v>
      </c>
      <c r="G28" s="42" t="s">
        <v>110</v>
      </c>
    </row>
    <row r="29" spans="2:7" ht="21.95" customHeight="1" x14ac:dyDescent="0.25">
      <c r="B29" s="42">
        <f>ROW(B29)-ROW($B$12)</f>
        <v>17</v>
      </c>
      <c r="C29" s="42">
        <v>3</v>
      </c>
      <c r="D29" s="43" t="s">
        <v>44</v>
      </c>
      <c r="E29" s="42" t="s">
        <v>76</v>
      </c>
      <c r="F29" s="42" t="s">
        <v>92</v>
      </c>
      <c r="G29" s="42" t="s">
        <v>111</v>
      </c>
    </row>
    <row r="30" spans="2:7" ht="21.95" customHeight="1" x14ac:dyDescent="0.25">
      <c r="B30" s="42">
        <f t="shared" si="0"/>
        <v>18</v>
      </c>
      <c r="C30" s="42">
        <v>1</v>
      </c>
      <c r="D30" s="43" t="s">
        <v>45</v>
      </c>
      <c r="E30" s="42" t="s">
        <v>77</v>
      </c>
      <c r="F30" s="42" t="s">
        <v>92</v>
      </c>
      <c r="G30" s="42" t="s">
        <v>112</v>
      </c>
    </row>
    <row r="31" spans="2:7" ht="21.95" customHeight="1" x14ac:dyDescent="0.25">
      <c r="B31" s="42">
        <f>ROW(B31)-ROW($B$12)</f>
        <v>19</v>
      </c>
      <c r="C31" s="42">
        <v>5</v>
      </c>
      <c r="D31" s="43" t="s">
        <v>46</v>
      </c>
      <c r="E31" s="42" t="s">
        <v>78</v>
      </c>
      <c r="F31" s="42" t="s">
        <v>92</v>
      </c>
      <c r="G31" s="42" t="s">
        <v>113</v>
      </c>
    </row>
    <row r="32" spans="2:7" ht="21.95" customHeight="1" x14ac:dyDescent="0.25">
      <c r="B32" s="42">
        <f t="shared" si="0"/>
        <v>20</v>
      </c>
      <c r="C32" s="42">
        <v>1</v>
      </c>
      <c r="D32" s="43" t="s">
        <v>47</v>
      </c>
      <c r="E32" s="42" t="s">
        <v>79</v>
      </c>
      <c r="F32" s="42" t="s">
        <v>92</v>
      </c>
      <c r="G32" s="42" t="s">
        <v>114</v>
      </c>
    </row>
    <row r="33" spans="2:7" ht="21.95" customHeight="1" x14ac:dyDescent="0.25">
      <c r="B33" s="42">
        <f>ROW(B33)-ROW($B$12)</f>
        <v>21</v>
      </c>
      <c r="C33" s="42">
        <v>1</v>
      </c>
      <c r="D33" s="43" t="s">
        <v>48</v>
      </c>
      <c r="E33" s="42" t="s">
        <v>80</v>
      </c>
      <c r="F33" s="42" t="s">
        <v>92</v>
      </c>
      <c r="G33" s="42" t="s">
        <v>115</v>
      </c>
    </row>
    <row r="34" spans="2:7" ht="21.95" customHeight="1" x14ac:dyDescent="0.25">
      <c r="B34" s="42">
        <f t="shared" si="0"/>
        <v>22</v>
      </c>
      <c r="C34" s="42">
        <v>1</v>
      </c>
      <c r="D34" s="43" t="s">
        <v>49</v>
      </c>
      <c r="E34" s="42" t="s">
        <v>81</v>
      </c>
      <c r="F34" s="42" t="s">
        <v>92</v>
      </c>
      <c r="G34" s="42" t="s">
        <v>116</v>
      </c>
    </row>
    <row r="35" spans="2:7" ht="21.95" customHeight="1" x14ac:dyDescent="0.25">
      <c r="B35" s="42">
        <f>ROW(B35)-ROW($B$12)</f>
        <v>23</v>
      </c>
      <c r="C35" s="42">
        <v>1</v>
      </c>
      <c r="D35" s="43" t="s">
        <v>50</v>
      </c>
      <c r="E35" s="42" t="s">
        <v>82</v>
      </c>
      <c r="F35" s="42" t="s">
        <v>92</v>
      </c>
      <c r="G35" s="42" t="s">
        <v>117</v>
      </c>
    </row>
    <row r="36" spans="2:7" ht="21.95" customHeight="1" x14ac:dyDescent="0.25">
      <c r="B36" s="42">
        <f t="shared" si="0"/>
        <v>24</v>
      </c>
      <c r="C36" s="42">
        <v>1</v>
      </c>
      <c r="D36" s="43" t="s">
        <v>51</v>
      </c>
      <c r="E36" s="42" t="s">
        <v>83</v>
      </c>
      <c r="F36" s="42" t="s">
        <v>92</v>
      </c>
      <c r="G36" s="42" t="s">
        <v>118</v>
      </c>
    </row>
    <row r="37" spans="2:7" ht="21.95" customHeight="1" x14ac:dyDescent="0.25">
      <c r="B37" s="42">
        <f>ROW(B37)-ROW($B$12)</f>
        <v>25</v>
      </c>
      <c r="C37" s="42">
        <v>2</v>
      </c>
      <c r="D37" s="43" t="s">
        <v>52</v>
      </c>
      <c r="E37" s="42" t="s">
        <v>84</v>
      </c>
      <c r="F37" s="42" t="s">
        <v>92</v>
      </c>
      <c r="G37" s="42" t="s">
        <v>119</v>
      </c>
    </row>
    <row r="38" spans="2:7" ht="21.95" customHeight="1" x14ac:dyDescent="0.25">
      <c r="B38" s="42">
        <f t="shared" si="0"/>
        <v>26</v>
      </c>
      <c r="C38" s="42">
        <v>1</v>
      </c>
      <c r="D38" s="43" t="s">
        <v>53</v>
      </c>
      <c r="E38" s="42" t="s">
        <v>85</v>
      </c>
      <c r="F38" s="42" t="s">
        <v>92</v>
      </c>
      <c r="G38" s="42" t="s">
        <v>120</v>
      </c>
    </row>
    <row r="39" spans="2:7" ht="21.95" customHeight="1" x14ac:dyDescent="0.25">
      <c r="B39" s="42">
        <f>ROW(B39)-ROW($B$12)</f>
        <v>27</v>
      </c>
      <c r="C39" s="42">
        <v>1</v>
      </c>
      <c r="D39" s="43" t="s">
        <v>54</v>
      </c>
      <c r="E39" s="42" t="s">
        <v>86</v>
      </c>
      <c r="F39" s="42" t="s">
        <v>92</v>
      </c>
      <c r="G39" s="42" t="s">
        <v>121</v>
      </c>
    </row>
    <row r="40" spans="2:7" ht="21.95" customHeight="1" x14ac:dyDescent="0.25">
      <c r="B40" s="42">
        <f t="shared" si="0"/>
        <v>28</v>
      </c>
      <c r="C40" s="42">
        <v>1</v>
      </c>
      <c r="D40" s="46" t="s">
        <v>55</v>
      </c>
      <c r="E40" s="42" t="s">
        <v>87</v>
      </c>
      <c r="F40" s="42" t="s">
        <v>92</v>
      </c>
      <c r="G40" s="42" t="s">
        <v>122</v>
      </c>
    </row>
    <row r="41" spans="2:7" ht="21.95" customHeight="1" x14ac:dyDescent="0.25">
      <c r="B41" s="42">
        <f>ROW(B41)-ROW($B$12)</f>
        <v>29</v>
      </c>
      <c r="C41" s="42">
        <v>1</v>
      </c>
      <c r="D41" s="46" t="s">
        <v>56</v>
      </c>
      <c r="E41" s="42" t="s">
        <v>88</v>
      </c>
      <c r="F41" s="42" t="s">
        <v>92</v>
      </c>
      <c r="G41" s="42" t="s">
        <v>123</v>
      </c>
    </row>
    <row r="42" spans="2:7" ht="21.95" customHeight="1" x14ac:dyDescent="0.25">
      <c r="B42" s="42">
        <f t="shared" si="0"/>
        <v>30</v>
      </c>
      <c r="C42" s="42">
        <v>1</v>
      </c>
      <c r="D42" s="43" t="s">
        <v>57</v>
      </c>
      <c r="E42" s="42" t="s">
        <v>89</v>
      </c>
      <c r="F42" s="42" t="s">
        <v>92</v>
      </c>
      <c r="G42" s="42" t="s">
        <v>124</v>
      </c>
    </row>
    <row r="43" spans="2:7" ht="21.95" customHeight="1" x14ac:dyDescent="0.25">
      <c r="B43" s="42">
        <f>ROW(B43)-ROW($B$12)</f>
        <v>31</v>
      </c>
      <c r="C43" s="42">
        <v>1</v>
      </c>
      <c r="D43" s="43" t="s">
        <v>58</v>
      </c>
      <c r="E43" s="42" t="s">
        <v>90</v>
      </c>
      <c r="F43" s="42" t="s">
        <v>92</v>
      </c>
      <c r="G43" s="42" t="s">
        <v>125</v>
      </c>
    </row>
    <row r="44" spans="2:7" ht="18.75" x14ac:dyDescent="0.25">
      <c r="B44" s="44"/>
      <c r="C44" s="45">
        <f>SUM(C13:C43)</f>
        <v>59</v>
      </c>
      <c r="D44" s="53"/>
      <c r="E44" s="53"/>
      <c r="F44" s="53"/>
      <c r="G44" s="53"/>
    </row>
    <row r="47" spans="2:7" ht="33.75" x14ac:dyDescent="0.5">
      <c r="B47" s="50"/>
      <c r="C47" s="50"/>
      <c r="D47" s="50"/>
      <c r="E47" s="50"/>
      <c r="F47" s="50"/>
      <c r="G47" s="50"/>
    </row>
    <row r="50" spans="2:4" x14ac:dyDescent="0.25">
      <c r="B50" s="48"/>
      <c r="C50" s="48"/>
      <c r="D50" s="4"/>
    </row>
    <row r="51" spans="2:4" x14ac:dyDescent="0.25">
      <c r="B51" s="48"/>
      <c r="C51" s="48"/>
      <c r="D51" s="5"/>
    </row>
    <row r="52" spans="2:4" x14ac:dyDescent="0.25">
      <c r="B52" s="48"/>
      <c r="C52" s="48"/>
      <c r="D52" s="5"/>
    </row>
    <row r="53" spans="2:4" x14ac:dyDescent="0.25">
      <c r="B53" s="48"/>
      <c r="C53" s="48"/>
      <c r="D53" s="5"/>
    </row>
    <row r="54" spans="2:4" x14ac:dyDescent="0.25">
      <c r="B54" s="48"/>
      <c r="C54" s="48"/>
      <c r="D54" s="5"/>
    </row>
    <row r="55" spans="2:4" x14ac:dyDescent="0.25">
      <c r="B55" s="48"/>
      <c r="C55" s="48"/>
      <c r="D55" s="5"/>
    </row>
    <row r="56" spans="2:4" x14ac:dyDescent="0.25">
      <c r="B56" s="49"/>
      <c r="C56" s="49"/>
      <c r="D56" s="6"/>
    </row>
  </sheetData>
  <mergeCells count="14">
    <mergeCell ref="B1:G1"/>
    <mergeCell ref="B55:C55"/>
    <mergeCell ref="B56:C56"/>
    <mergeCell ref="B47:G47"/>
    <mergeCell ref="B50:C50"/>
    <mergeCell ref="B51:C51"/>
    <mergeCell ref="B52:C52"/>
    <mergeCell ref="B53:C53"/>
    <mergeCell ref="B54:C54"/>
    <mergeCell ref="C9:G9"/>
    <mergeCell ref="D44:G44"/>
    <mergeCell ref="C8:G8"/>
    <mergeCell ref="C7:G7"/>
    <mergeCell ref="C6:G6"/>
  </mergeCells>
  <conditionalFormatting sqref="B13:G43">
    <cfRule type="expression" dxfId="0" priority="3">
      <formula>#REF!&lt;$C13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D202-F0E5-4E23-B3AD-46E1BA7D8A77}">
  <dimension ref="A1:XEI64"/>
  <sheetViews>
    <sheetView showGridLines="0" topLeftCell="A7" workbookViewId="0">
      <selection activeCell="A27" sqref="A27:C27"/>
    </sheetView>
  </sheetViews>
  <sheetFormatPr defaultColWidth="0" defaultRowHeight="15" zeroHeight="1" x14ac:dyDescent="0.25"/>
  <cols>
    <col min="1" max="1" width="27.7109375" bestFit="1" customWidth="1"/>
    <col min="2" max="2" width="20.7109375" customWidth="1"/>
    <col min="3" max="3" width="26.28515625" customWidth="1"/>
    <col min="4" max="4" width="2" hidden="1" customWidth="1"/>
    <col min="5" max="5" width="3.140625" hidden="1" customWidth="1"/>
    <col min="6" max="6" width="15" hidden="1" customWidth="1"/>
    <col min="7" max="7" width="13.5703125" hidden="1" customWidth="1"/>
    <col min="8" max="8" width="28" hidden="1"/>
    <col min="9" max="9" width="26.7109375" hidden="1"/>
    <col min="10" max="10" width="26.140625" hidden="1"/>
    <col min="11" max="16362" width="8.85546875" hidden="1"/>
    <col min="16364" max="16384" width="8.85546875" hidden="1"/>
  </cols>
  <sheetData>
    <row r="1" spans="1:9" x14ac:dyDescent="0.25"/>
    <row r="2" spans="1:9" x14ac:dyDescent="0.25"/>
    <row r="3" spans="1:9" x14ac:dyDescent="0.25"/>
    <row r="4" spans="1:9" x14ac:dyDescent="0.25"/>
    <row r="5" spans="1:9" x14ac:dyDescent="0.25"/>
    <row r="6" spans="1:9" x14ac:dyDescent="0.25"/>
    <row r="7" spans="1:9" x14ac:dyDescent="0.25"/>
    <row r="8" spans="1:9" ht="33.75" x14ac:dyDescent="0.25">
      <c r="A8" s="54" t="s">
        <v>7</v>
      </c>
      <c r="B8" s="54"/>
      <c r="C8" s="54"/>
      <c r="D8" s="10"/>
      <c r="E8" s="10"/>
      <c r="F8" s="10"/>
      <c r="G8" s="10"/>
      <c r="H8" s="7"/>
      <c r="I8" s="7"/>
    </row>
    <row r="9" spans="1:9" ht="15" customHeight="1" x14ac:dyDescent="0.25">
      <c r="A9" s="10"/>
      <c r="B9" s="21"/>
      <c r="C9" s="21"/>
      <c r="D9" s="10"/>
      <c r="E9" s="10"/>
      <c r="F9" s="10"/>
      <c r="G9" s="10"/>
    </row>
    <row r="10" spans="1:9" x14ac:dyDescent="0.25">
      <c r="A10" s="23"/>
      <c r="B10" s="56" t="s">
        <v>25</v>
      </c>
      <c r="C10" s="57"/>
      <c r="D10" s="58"/>
      <c r="E10" s="58"/>
      <c r="F10" s="58"/>
      <c r="G10" s="58"/>
      <c r="H10" s="23"/>
      <c r="I10" s="23"/>
    </row>
    <row r="11" spans="1:9" x14ac:dyDescent="0.25">
      <c r="A11" s="18"/>
      <c r="B11" s="3" t="s">
        <v>9</v>
      </c>
      <c r="C11" s="3" t="s">
        <v>10</v>
      </c>
      <c r="D11" s="4"/>
      <c r="E11" s="4"/>
      <c r="F11" s="4"/>
      <c r="G11" s="4"/>
      <c r="H11" s="24"/>
      <c r="I11" s="24"/>
    </row>
    <row r="12" spans="1:9" x14ac:dyDescent="0.25">
      <c r="A12" s="3" t="s">
        <v>8</v>
      </c>
      <c r="B12" s="8" t="e">
        <f>BoM!#REF!</f>
        <v>#REF!</v>
      </c>
      <c r="C12" s="9" t="e">
        <f t="shared" ref="C12:C17" si="0">B12*$B$22</f>
        <v>#REF!</v>
      </c>
      <c r="D12" s="31"/>
      <c r="E12" s="32"/>
      <c r="F12" s="31"/>
      <c r="G12" s="32"/>
      <c r="H12" s="24"/>
      <c r="I12" s="24"/>
    </row>
    <row r="13" spans="1:9" x14ac:dyDescent="0.25">
      <c r="A13" s="3" t="s">
        <v>12</v>
      </c>
      <c r="B13" s="8">
        <v>40</v>
      </c>
      <c r="C13" s="9">
        <f t="shared" si="0"/>
        <v>225.47200000000001</v>
      </c>
      <c r="D13" s="31"/>
      <c r="E13" s="32"/>
      <c r="F13" s="31"/>
      <c r="G13" s="32"/>
      <c r="H13" s="24"/>
      <c r="I13" s="24"/>
    </row>
    <row r="14" spans="1:9" x14ac:dyDescent="0.25">
      <c r="A14" s="3" t="s">
        <v>13</v>
      </c>
      <c r="B14" s="8" t="e">
        <f>0.6*SUM(B12:B13)</f>
        <v>#REF!</v>
      </c>
      <c r="C14" s="9" t="e">
        <f t="shared" si="0"/>
        <v>#REF!</v>
      </c>
      <c r="D14" s="31"/>
      <c r="E14" s="32"/>
      <c r="F14" s="31"/>
      <c r="G14" s="32"/>
      <c r="H14" s="4"/>
      <c r="I14" s="25"/>
    </row>
    <row r="15" spans="1:9" x14ac:dyDescent="0.25">
      <c r="A15" s="3" t="s">
        <v>11</v>
      </c>
      <c r="B15" s="8" t="e">
        <f>SUM(B12:B14)*0.18/0.82</f>
        <v>#REF!</v>
      </c>
      <c r="C15" s="9" t="e">
        <f t="shared" si="0"/>
        <v>#REF!</v>
      </c>
      <c r="D15" s="31"/>
      <c r="E15" s="32"/>
      <c r="F15" s="31"/>
      <c r="G15" s="32"/>
    </row>
    <row r="16" spans="1:9" x14ac:dyDescent="0.25">
      <c r="A16" s="3" t="s">
        <v>14</v>
      </c>
      <c r="B16" s="8">
        <v>16.87</v>
      </c>
      <c r="C16" s="9">
        <f t="shared" si="0"/>
        <v>95.092815999999999</v>
      </c>
      <c r="D16" s="31"/>
      <c r="E16" s="32"/>
      <c r="F16" s="31"/>
      <c r="G16" s="32"/>
    </row>
    <row r="17" spans="1:9" x14ac:dyDescent="0.25">
      <c r="A17" s="14" t="s">
        <v>15</v>
      </c>
      <c r="B17" s="15" t="e">
        <f>SUM(B14:B16)</f>
        <v>#REF!</v>
      </c>
      <c r="C17" s="16" t="e">
        <f t="shared" si="0"/>
        <v>#REF!</v>
      </c>
      <c r="D17" s="31"/>
      <c r="E17" s="32"/>
      <c r="F17" s="31"/>
      <c r="G17" s="32"/>
    </row>
    <row r="18" spans="1:9" x14ac:dyDescent="0.25"/>
    <row r="19" spans="1:9" ht="33.75" x14ac:dyDescent="0.5">
      <c r="A19" s="54" t="s">
        <v>20</v>
      </c>
      <c r="B19" s="54"/>
      <c r="C19" s="54"/>
      <c r="D19" s="10"/>
      <c r="E19" s="10"/>
      <c r="F19" s="10"/>
      <c r="G19" s="10"/>
      <c r="H19" s="26"/>
      <c r="I19" s="26"/>
    </row>
    <row r="20" spans="1:9" ht="15" customHeight="1" x14ac:dyDescent="0.25">
      <c r="A20" s="10"/>
      <c r="B20" s="10"/>
      <c r="C20" s="10"/>
      <c r="D20" s="10"/>
      <c r="E20" s="10"/>
      <c r="F20" s="10"/>
      <c r="G20" s="10"/>
    </row>
    <row r="21" spans="1:9" x14ac:dyDescent="0.25">
      <c r="A21" s="11" t="str">
        <f ca="1">"USD &lt;-&gt; BRL (" &amp; TEXT(TODAY(),"DD/MM/AA") &amp;")"</f>
        <v>USD &lt;-&gt; BRL (10/10/24)</v>
      </c>
      <c r="B21" s="27">
        <v>5.42</v>
      </c>
      <c r="C21" s="28"/>
      <c r="D21" s="4"/>
    </row>
    <row r="22" spans="1:9" x14ac:dyDescent="0.25">
      <c r="A22" s="12" t="s">
        <v>16</v>
      </c>
      <c r="B22" s="29">
        <f>B21*1.04</f>
        <v>5.6368</v>
      </c>
      <c r="C22" s="30"/>
      <c r="D22" s="5"/>
    </row>
    <row r="23" spans="1:9" x14ac:dyDescent="0.25">
      <c r="A23" s="17"/>
      <c r="B23" s="56" t="s">
        <v>25</v>
      </c>
      <c r="C23" s="57"/>
      <c r="D23" s="58"/>
      <c r="E23" s="58"/>
      <c r="F23" s="58"/>
      <c r="G23" s="58"/>
    </row>
    <row r="24" spans="1:9" x14ac:dyDescent="0.25">
      <c r="A24" s="13" t="s">
        <v>21</v>
      </c>
      <c r="B24" s="8" t="e">
        <f>SUM(B12:B13)</f>
        <v>#REF!</v>
      </c>
      <c r="C24" s="9" t="e">
        <f>B24*$B$22</f>
        <v>#REF!</v>
      </c>
      <c r="D24" s="31"/>
      <c r="E24" s="32"/>
      <c r="F24" s="31"/>
      <c r="G24" s="32"/>
    </row>
    <row r="25" spans="1:9" x14ac:dyDescent="0.25">
      <c r="A25" s="13" t="s">
        <v>22</v>
      </c>
      <c r="B25" s="8" t="e">
        <f>SUM(B14:B16)</f>
        <v>#REF!</v>
      </c>
      <c r="C25" s="9" t="e">
        <f>B25*$B$22</f>
        <v>#REF!</v>
      </c>
      <c r="D25" s="31"/>
      <c r="E25" s="32"/>
      <c r="F25" s="31"/>
      <c r="G25" s="32"/>
    </row>
    <row r="26" spans="1:9" x14ac:dyDescent="0.25">
      <c r="A26" s="19" t="s">
        <v>19</v>
      </c>
      <c r="B26" s="22" t="e">
        <f>SUM(B24:B25)</f>
        <v>#REF!</v>
      </c>
      <c r="C26" s="20" t="e">
        <f t="shared" ref="C26" si="1">SUM(C24:C25)</f>
        <v>#REF!</v>
      </c>
      <c r="D26" s="33"/>
      <c r="E26" s="34"/>
      <c r="F26" s="33"/>
      <c r="G26" s="34"/>
    </row>
    <row r="27" spans="1:9" ht="19.149999999999999" customHeight="1" x14ac:dyDescent="0.25">
      <c r="A27" s="55" t="s">
        <v>23</v>
      </c>
      <c r="B27" s="55"/>
      <c r="C27" s="55"/>
      <c r="D27" s="37"/>
      <c r="E27" s="37"/>
      <c r="F27" s="38"/>
      <c r="G27" s="39"/>
    </row>
    <row r="28" spans="1:9" s="35" customFormat="1" ht="27" customHeight="1" x14ac:dyDescent="0.2">
      <c r="A28" s="55" t="s">
        <v>24</v>
      </c>
      <c r="B28" s="55"/>
      <c r="C28" s="55"/>
      <c r="D28" s="40"/>
      <c r="E28" s="40"/>
      <c r="F28" s="37"/>
      <c r="G28" s="37"/>
      <c r="H28" s="36"/>
      <c r="I28" s="36"/>
    </row>
    <row r="64" spans="4:5" hidden="1" x14ac:dyDescent="0.25">
      <c r="D64" t="s">
        <v>17</v>
      </c>
      <c r="E64" t="s">
        <v>18</v>
      </c>
    </row>
  </sheetData>
  <mergeCells count="10">
    <mergeCell ref="D10:E10"/>
    <mergeCell ref="F10:G10"/>
    <mergeCell ref="B23:C23"/>
    <mergeCell ref="D23:E23"/>
    <mergeCell ref="F23:G23"/>
    <mergeCell ref="A8:C8"/>
    <mergeCell ref="A19:C19"/>
    <mergeCell ref="A28:C28"/>
    <mergeCell ref="A27:C27"/>
    <mergeCell ref="B10:C10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fd81bd-aa47-44fe-a879-d8b0a59d073f" xsi:nil="true"/>
    <lcf76f155ced4ddcb4097134ff3c332f xmlns="67754bcf-640a-45dc-a4a1-3295cc8f1c1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3A3410C182AB469BFD6543519C0FE4" ma:contentTypeVersion="12" ma:contentTypeDescription="Crie um novo documento." ma:contentTypeScope="" ma:versionID="2fe405e9385892723840c96a6d735dcf">
  <xsd:schema xmlns:xsd="http://www.w3.org/2001/XMLSchema" xmlns:xs="http://www.w3.org/2001/XMLSchema" xmlns:p="http://schemas.microsoft.com/office/2006/metadata/properties" xmlns:ns2="67754bcf-640a-45dc-a4a1-3295cc8f1c13" xmlns:ns3="eafd81bd-aa47-44fe-a879-d8b0a59d073f" targetNamespace="http://schemas.microsoft.com/office/2006/metadata/properties" ma:root="true" ma:fieldsID="3e3278376455a019c4f3e06f3cbff1cf" ns2:_="" ns3:_="">
    <xsd:import namespace="67754bcf-640a-45dc-a4a1-3295cc8f1c13"/>
    <xsd:import namespace="eafd81bd-aa47-44fe-a879-d8b0a59d07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54bcf-640a-45dc-a4a1-3295cc8f1c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1039465f-5c76-4b09-96a5-0acc751ed3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fd81bd-aa47-44fe-a879-d8b0a59d07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68b3f37-d2e3-415f-a268-32a125f5abf9}" ma:internalName="TaxCatchAll" ma:showField="CatchAllData" ma:web="eafd81bd-aa47-44fe-a879-d8b0a59d07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CEDFC9-7F99-4013-85DF-09F0F86F7B6A}">
  <ds:schemaRefs>
    <ds:schemaRef ds:uri="http://schemas.microsoft.com/office/2006/metadata/properties"/>
    <ds:schemaRef ds:uri="http://schemas.microsoft.com/office/infopath/2007/PartnerControls"/>
    <ds:schemaRef ds:uri="eafd81bd-aa47-44fe-a879-d8b0a59d073f"/>
    <ds:schemaRef ds:uri="67754bcf-640a-45dc-a4a1-3295cc8f1c13"/>
  </ds:schemaRefs>
</ds:datastoreItem>
</file>

<file path=customXml/itemProps2.xml><?xml version="1.0" encoding="utf-8"?>
<ds:datastoreItem xmlns:ds="http://schemas.openxmlformats.org/officeDocument/2006/customXml" ds:itemID="{7B4973F1-FB21-417F-AF6C-D9174DD308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13DF8D-4E7A-4B00-A047-BE5897B9F8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754bcf-640a-45dc-a4a1-3295cc8f1c13"/>
    <ds:schemaRef ds:uri="eafd81bd-aa47-44fe-a879-d8b0a59d07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BoM</vt:lpstr>
      <vt:lpstr>Impostos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Newton Fonsêca</dc:creator>
  <cp:lastModifiedBy>Jonatas Rodrigo Kinas</cp:lastModifiedBy>
  <dcterms:created xsi:type="dcterms:W3CDTF">2021-08-20T00:23:50Z</dcterms:created>
  <dcterms:modified xsi:type="dcterms:W3CDTF">2024-10-10T15:41:10Z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0x010100983A3410C182AB469BFD6543519C0FE4</vt:lpwstr>
  </property>
</Properties>
</file>